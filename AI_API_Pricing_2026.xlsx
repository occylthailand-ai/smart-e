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 API Pricing" sheetId="1" state="visible" r:id="rId3"/>
    <sheet name="Image Generation" sheetId="2" state="visible" r:id="rId4"/>
    <sheet name="Video Generation" sheetId="3" state="visible" r:id="rId5"/>
    <sheet name="Music &amp; Voice" sheetId="4" state="visible" r:id="rId6"/>
    <sheet name="Coding Tools" sheetId="5" state="visible" r:id="rId7"/>
    <sheet name="Agents &amp; RA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<sst xmlns="http://schemas.openxmlformats.org/spreadsheetml/2006/main" count="499" uniqueCount="377">
  <si>
    <t xml:space="preserve">LLM API Pricing Comparison - March 2026 (Updated from TLDL + Official Sources)</t>
  </si>
  <si>
    <t xml:space="preserve">Sources: TLDL.io, OpenAI, Anthropic, Google, DeepSeek official pricing pages. Prices per 1M tokens (USD). Updated 9 March 2026.</t>
  </si>
  <si>
    <t xml:space="preserve">Provider</t>
  </si>
  <si>
    <t xml:space="preserve">Model</t>
  </si>
  <si>
    <t xml:space="preserve">Input $/1M</t>
  </si>
  <si>
    <t xml:space="preserve">Output $/1M</t>
  </si>
  <si>
    <t xml:space="preserve">Context Window</t>
  </si>
  <si>
    <t xml:space="preserve">Best For</t>
  </si>
  <si>
    <t xml:space="preserve">Tier</t>
  </si>
  <si>
    <t xml:space="preserve">Notes</t>
  </si>
  <si>
    <t xml:space="preserve">OpenAI</t>
  </si>
  <si>
    <t xml:space="preserve">GPT-5.4 (Flagship)</t>
  </si>
  <si>
    <t xml:space="preserve">128K</t>
  </si>
  <si>
    <t xml:space="preserve">ล่าสุด Flagship มี.ค. 2026</t>
  </si>
  <si>
    <t xml:space="preserve">Premium</t>
  </si>
  <si>
    <t xml:space="preserve">Cache 90% off, ใหม่สุด</t>
  </si>
  <si>
    <t xml:space="preserve">GPT-5.2</t>
  </si>
  <si>
    <t xml:space="preserve">งานทั่วไป วิเคราะห์</t>
  </si>
  <si>
    <t xml:space="preserve">Flagship เดิม</t>
  </si>
  <si>
    <t xml:space="preserve">GPT-5.3-Codex</t>
  </si>
  <si>
    <t xml:space="preserve">เขียนโค้ด</t>
  </si>
  <si>
    <t xml:space="preserve">SWE-bench 77.3%</t>
  </si>
  <si>
    <t xml:space="preserve">GPT-5</t>
  </si>
  <si>
    <t xml:space="preserve">คุ้มค่า mid-tier</t>
  </si>
  <si>
    <t xml:space="preserve">Mid</t>
  </si>
  <si>
    <t xml:space="preserve">รุ่นมาตรฐาน</t>
  </si>
  <si>
    <t xml:space="preserve">GPT-5 Nano</t>
  </si>
  <si>
    <t xml:space="preserve">งานเบา ถูกสุดของ OpenAI</t>
  </si>
  <si>
    <t xml:space="preserve">Budget</t>
  </si>
  <si>
    <t xml:space="preserve">เร็วมาก ถูกมาก</t>
  </si>
  <si>
    <t xml:space="preserve">o3 Pro</t>
  </si>
  <si>
    <t xml:space="preserve">200K</t>
  </si>
  <si>
    <t xml:space="preserve">Reasoning ยากสุด</t>
  </si>
  <si>
    <t xml:space="preserve">Ultra</t>
  </si>
  <si>
    <t xml:space="preserve">แพงสุด แม่นสุด</t>
  </si>
  <si>
    <t xml:space="preserve">o4-mini</t>
  </si>
  <si>
    <t xml:space="preserve">Reasoning ประหยัด</t>
  </si>
  <si>
    <t xml:space="preserve">Fast reasoning, cache 50% off</t>
  </si>
  <si>
    <t xml:space="preserve">Anthropic</t>
  </si>
  <si>
    <t xml:space="preserve">Claude Opus 4.6</t>
  </si>
  <si>
    <t xml:space="preserve">เขียน วิจัย โค้ด เชิงลึก</t>
  </si>
  <si>
    <t xml:space="preserve">Fast mode: $30/$150, Cache write $6.25</t>
  </si>
  <si>
    <t xml:space="preserve">Claude Sonnet 4.6</t>
  </si>
  <si>
    <t xml:space="preserve">คุ้มค่าสุด Anthropic</t>
  </si>
  <si>
    <t xml:space="preserve">SWE-bench 80.9%, &gt;200K: $6/$22.50</t>
  </si>
  <si>
    <t xml:space="preserve">Claude Haiku 4.5</t>
  </si>
  <si>
    <t xml:space="preserve">เร็ว classification</t>
  </si>
  <si>
    <t xml:space="preserve">Batch API ลด 50%</t>
  </si>
  <si>
    <t xml:space="preserve">Google</t>
  </si>
  <si>
    <t xml:space="preserve">Gemini 2.5 Pro</t>
  </si>
  <si>
    <t xml:space="preserve">1M</t>
  </si>
  <si>
    <t xml:space="preserve">Context ยาว multimodal</t>
  </si>
  <si>
    <t xml:space="preserve">Free tier มี, 1M context</t>
  </si>
  <si>
    <t xml:space="preserve">Gemini 3 Flash</t>
  </si>
  <si>
    <t xml:space="preserve">เร็ว balanced</t>
  </si>
  <si>
    <t xml:space="preserve">Free tier มี</t>
  </si>
  <si>
    <t xml:space="preserve">Gemini 2.0 Flash-Lite</t>
  </si>
  <si>
    <t xml:space="preserve">ถูกสุด mainstream</t>
  </si>
  <si>
    <t xml:space="preserve">DeepSeek</t>
  </si>
  <si>
    <t xml:space="preserve">DeepSeek V3.2</t>
  </si>
  <si>
    <t xml:space="preserve">ถูกสุดในตลาด</t>
  </si>
  <si>
    <t xml:space="preserve">Cache hit 90% off, ถูกกว่า GPT 100x</t>
  </si>
  <si>
    <t xml:space="preserve">DeepSeek R1</t>
  </si>
  <si>
    <t xml:space="preserve">Reasoning ถูกมาก</t>
  </si>
  <si>
    <t xml:space="preserve">คู่แข่ง o3 ในราคาเศษเสี้ยว</t>
  </si>
  <si>
    <t xml:space="preserve">xAI</t>
  </si>
  <si>
    <t xml:space="preserve">Grok 3</t>
  </si>
  <si>
    <t xml:space="preserve">Real-time data X/Twitter</t>
  </si>
  <si>
    <t xml:space="preserve">เชื่อม X ecosystem</t>
  </si>
  <si>
    <t xml:space="preserve">Mistral</t>
  </si>
  <si>
    <t xml:space="preserve">Mistral Large 2</t>
  </si>
  <si>
    <t xml:space="preserve">EU-based GDPR</t>
  </si>
  <si>
    <t xml:space="preserve">หลายภาษา ปลอดภัย EU</t>
  </si>
  <si>
    <t xml:space="preserve">Codestral</t>
  </si>
  <si>
    <t xml:space="preserve">256K</t>
  </si>
  <si>
    <t xml:space="preserve">โค้ด ถูก</t>
  </si>
  <si>
    <t xml:space="preserve">256K context สำหรับโค้ด</t>
  </si>
  <si>
    <t xml:space="preserve">Meta</t>
  </si>
  <si>
    <t xml:space="preserve">Llama 4 Scout</t>
  </si>
  <si>
    <t xml:space="preserve">Open Source ฟรี</t>
  </si>
  <si>
    <t xml:space="preserve">Free</t>
  </si>
  <si>
    <t xml:space="preserve">Self-host, ไม่มีค่า API</t>
  </si>
  <si>
    <t xml:space="preserve">Llama 4 Maverick</t>
  </si>
  <si>
    <t xml:space="preserve">Open Source ใหญ่</t>
  </si>
  <si>
    <t xml:space="preserve">Self-host ต้องมี GPU แรง</t>
  </si>
  <si>
    <t xml:space="preserve">Cost Calculator (1000 input + 500 output tokens)</t>
  </si>
  <si>
    <t xml:space="preserve">Input Cost</t>
  </si>
  <si>
    <t xml:space="preserve">Output Cost</t>
  </si>
  <si>
    <t xml:space="preserve">Total Cost</t>
  </si>
  <si>
    <t xml:space="preserve">AI Image Generation Pricing - March 2026</t>
  </si>
  <si>
    <t xml:space="preserve">Prices vary by plan and resolution. Estimates for standard quality.</t>
  </si>
  <si>
    <t xml:space="preserve">Tool</t>
  </si>
  <si>
    <t xml:space="preserve">Subscription</t>
  </si>
  <si>
    <t xml:space="preserve">~Cost/Image</t>
  </si>
  <si>
    <t xml:space="preserve">API Available</t>
  </si>
  <si>
    <t xml:space="preserve">License</t>
  </si>
  <si>
    <t xml:space="preserve">Midjourney V7</t>
  </si>
  <si>
    <t xml:space="preserve">$10-120/mo</t>
  </si>
  <si>
    <t xml:space="preserve">$0.02-0.03</t>
  </si>
  <si>
    <t xml:space="preserve">Yes (Beta)</t>
  </si>
  <si>
    <t xml:space="preserve">สวยงาม ครีเอทีฟ</t>
  </si>
  <si>
    <t xml:space="preserve">Commercial</t>
  </si>
  <si>
    <t xml:space="preserve">Standard 900-1500 img/mo</t>
  </si>
  <si>
    <t xml:space="preserve">DALL-E 3.5 (ChatGPT)</t>
  </si>
  <si>
    <t xml:space="preserve">Free/ChatGPT+ $20</t>
  </si>
  <si>
    <t xml:space="preserve">$0.04-0.08</t>
  </si>
  <si>
    <t xml:space="preserve">Yes</t>
  </si>
  <si>
    <t xml:space="preserve">ตาม Prompt แม่น 95%</t>
  </si>
  <si>
    <t xml:space="preserve">API: $0.04/img (1024x1024)</t>
  </si>
  <si>
    <t xml:space="preserve">Stable Diffusion 3.5</t>
  </si>
  <si>
    <t xml:space="preserve">Free (self-host)</t>
  </si>
  <si>
    <t xml:space="preserve">$0.002-0.01</t>
  </si>
  <si>
    <t xml:space="preserve">Yes (Stability)</t>
  </si>
  <si>
    <t xml:space="preserve">ปรับแต่งได้เต็มที่</t>
  </si>
  <si>
    <t xml:space="preserve">Open</t>
  </si>
  <si>
    <t xml:space="preserve">ต้องมี GPU 8GB+</t>
  </si>
  <si>
    <t xml:space="preserve">FLUX 2 Pro</t>
  </si>
  <si>
    <t xml:space="preserve">Pay-per-use</t>
  </si>
  <si>
    <t xml:space="preserve">$0.05/img</t>
  </si>
  <si>
    <t xml:space="preserve">เร็ว Photorealism</t>
  </si>
  <si>
    <t xml:space="preserve">4.5 วิ/ภาพ</t>
  </si>
  <si>
    <t xml:space="preserve">FLUX 2 Dev</t>
  </si>
  <si>
    <t xml:space="preserve">Free (open-weight)</t>
  </si>
  <si>
    <t xml:space="preserve">$0.003-0.01</t>
  </si>
  <si>
    <t xml:space="preserve">นักพัฒนา Custom</t>
  </si>
  <si>
    <t xml:space="preserve">Open-weight</t>
  </si>
  <si>
    <t xml:space="preserve">Self-host ได้</t>
  </si>
  <si>
    <t xml:space="preserve">Adobe Firefly 3</t>
  </si>
  <si>
    <t xml:space="preserve">$22.99-59.99/mo</t>
  </si>
  <si>
    <t xml:space="preserve">~$0.03</t>
  </si>
  <si>
    <t xml:space="preserve">งานเชิงพาณิชย์</t>
  </si>
  <si>
    <t xml:space="preserve">100% Licensed</t>
  </si>
  <si>
    <t xml:space="preserve">ปลอดภัยลิขสิทธิ์</t>
  </si>
  <si>
    <t xml:space="preserve">Ideogram 3</t>
  </si>
  <si>
    <t xml:space="preserve">Free/Paid</t>
  </si>
  <si>
    <t xml:space="preserve">$0.02-0.04</t>
  </si>
  <si>
    <t xml:space="preserve">ตัวอักษร โลโก้</t>
  </si>
  <si>
    <t xml:space="preserve">เขียนตัวอักษรดีเยี่ยม</t>
  </si>
  <si>
    <t xml:space="preserve">Leonardo AI</t>
  </si>
  <si>
    <t xml:space="preserve">$9.99-48/mo</t>
  </si>
  <si>
    <t xml:space="preserve">~$0.02</t>
  </si>
  <si>
    <t xml:space="preserve">เกม Asset</t>
  </si>
  <si>
    <t xml:space="preserve">Specialized models</t>
  </si>
  <si>
    <t xml:space="preserve">AI Video Generation Pricing - March 2026 (Updated from RizzGen + DevTk + ModelsLab)</t>
  </si>
  <si>
    <t xml:space="preserve">Sources: RizzGen.ai, DevTk.ai, ModelsLab, official pricing. Prices per second of video. Updated 9 March 2026.</t>
  </si>
  <si>
    <t xml:space="preserve">จุดเด่น</t>
  </si>
  <si>
    <t xml:space="preserve">ราคา API</t>
  </si>
  <si>
    <t xml:space="preserve">ความยาวสูงสุด</t>
  </si>
  <si>
    <t xml:space="preserve">Resolution</t>
  </si>
  <si>
    <t xml:space="preserve">เหมาะสำหรับ</t>
  </si>
  <si>
    <t xml:space="preserve">หมายเหตุ</t>
  </si>
  <si>
    <t xml:space="preserve">Sora 2 (OpenAI)</t>
  </si>
  <si>
    <t xml:space="preserve">Cinematic, ฟิสิกส์สมจริง, เสียงซิงค์</t>
  </si>
  <si>
    <t xml:space="preserve">$0.10/sec (API), Pro $200/mo</t>
  </si>
  <si>
    <t xml:space="preserve">60s</t>
  </si>
  <si>
    <t xml:space="preserve">1080p</t>
  </si>
  <si>
    <t xml:space="preserve">โฆษณา Cinematic</t>
  </si>
  <si>
    <t xml:space="preserve">ฟิสิกส์ดีที่สุด, ChatGPT Pro unlimited</t>
  </si>
  <si>
    <t xml:space="preserve">Veo 3.1 (Google)</t>
  </si>
  <si>
    <t xml:space="preserve">เสียงพูดใน video (game-changer), benchmark #1</t>
  </si>
  <si>
    <t xml:space="preserve">$0.15-0.20/sec</t>
  </si>
  <si>
    <t xml:space="preserve">30s</t>
  </si>
  <si>
    <t xml:space="preserve">เสียง+ภาพ, API flexible</t>
  </si>
  <si>
    <t xml:space="preserve">Native audio ดีที่สุด</t>
  </si>
  <si>
    <t xml:space="preserve">Kling 3.0 (Kuaishou)</t>
  </si>
  <si>
    <t xml:space="preserve">Multi-shot, subject consistency, lip-sync</t>
  </si>
  <si>
    <t xml:space="preserve">$0.03-0.10/sec</t>
  </si>
  <si>
    <t xml:space="preserve">120s</t>
  </si>
  <si>
    <t xml:space="preserve">4K native</t>
  </si>
  <si>
    <t xml:space="preserve">Social UGC, ราคาถูก</t>
  </si>
  <si>
    <t xml:space="preserve">เปิดตัว ก.พ. 2026, คุ้มค่าสุด</t>
  </si>
  <si>
    <t xml:space="preserve">Runway Gen-4.5</t>
  </si>
  <si>
    <t xml:space="preserve">Benchmark crown, สไตล์หลากหลาย, Hollywood</t>
  </si>
  <si>
    <t xml:space="preserve">$0.12-0.15/sec, $12-76/mo</t>
  </si>
  <si>
    <t xml:space="preserve">40s</t>
  </si>
  <si>
    <t xml:space="preserve">VFX สร้างสรรค์</t>
  </si>
  <si>
    <t xml:space="preserve">Creative platform ดีสุด</t>
  </si>
  <si>
    <t xml:space="preserve">Seedance 2.0 (ByteDance)</t>
  </si>
  <si>
    <t xml:space="preserve">Multimodal, จีน, character consistency</t>
  </si>
  <si>
    <t xml:space="preserve">$0.06-0.08/sec</t>
  </si>
  <si>
    <t xml:space="preserve">Character animation</t>
  </si>
  <si>
    <t xml:space="preserve">จากจีน คู่แข่ง Kling</t>
  </si>
  <si>
    <t xml:space="preserve">Wan 2.6 (Alibaba)</t>
  </si>
  <si>
    <t xml:space="preserve">Open Source, ถูกสุด, self-host ได้</t>
  </si>
  <si>
    <t xml:space="preserve">$0.03-0.05/sec</t>
  </si>
  <si>
    <t xml:space="preserve">720p-1080p</t>
  </si>
  <si>
    <t xml:space="preserve">งบจำกัด Open Source</t>
  </si>
  <si>
    <t xml:space="preserve">Open-source ดีสุด</t>
  </si>
  <si>
    <t xml:space="preserve">LTX-2 (Lightricks)</t>
  </si>
  <si>
    <t xml:space="preserve">4K 50fps, fully open-source</t>
  </si>
  <si>
    <t xml:space="preserve">$0.08-0.12/sec</t>
  </si>
  <si>
    <t xml:space="preserve">20s</t>
  </si>
  <si>
    <t xml:space="preserve">4K 50fps</t>
  </si>
  <si>
    <t xml:space="preserve">4K resolution</t>
  </si>
  <si>
    <t xml:space="preserve">Open-source, 4K จริงตัวเดียว</t>
  </si>
  <si>
    <t xml:space="preserve">Minimax Hailuo</t>
  </si>
  <si>
    <t xml:space="preserve">Character consistency, คุ้มค่า</t>
  </si>
  <si>
    <t xml:space="preserve">$0.06-0.10/sec, $9.99/mo</t>
  </si>
  <si>
    <t xml:space="preserve">ตัวละครสม่ำเสมอ</t>
  </si>
  <si>
    <t xml:space="preserve">ดีสำหรับ storytelling</t>
  </si>
  <si>
    <t xml:space="preserve">Vidu</t>
  </si>
  <si>
    <t xml:space="preserve">ถูกมาก, commercial quality</t>
  </si>
  <si>
    <t xml:space="preserve">$0.04/sec</t>
  </si>
  <si>
    <t xml:space="preserve">ถูกสุด commercial</t>
  </si>
  <si>
    <t xml:space="preserve">คุณภาพดีในราคาถูก</t>
  </si>
  <si>
    <t xml:space="preserve">AI Music &amp; Voice Pricing - March 2026</t>
  </si>
  <si>
    <t xml:space="preserve">Music Generation</t>
  </si>
  <si>
    <t xml:space="preserve">License Status</t>
  </si>
  <si>
    <t xml:space="preserve">Suno V5</t>
  </si>
  <si>
    <t xml:space="preserve">Free/Pro $10-30/mo</t>
  </si>
  <si>
    <t xml:space="preserve">Warner licensed</t>
  </si>
  <si>
    <t xml:space="preserve">ปริมาณมาก YouTuber</t>
  </si>
  <si>
    <t xml:space="preserve">เร็ว Studio-quality</t>
  </si>
  <si>
    <t xml:space="preserve">Udio</t>
  </si>
  <si>
    <t xml:space="preserve">Universal licensed</t>
  </si>
  <si>
    <t xml:space="preserve">คุณภาพเพลงสูงสุด</t>
  </si>
  <si>
    <t xml:space="preserve">7/10 ไม่รู้ว่า AI</t>
  </si>
  <si>
    <t xml:space="preserve">ElevenLabs Music</t>
  </si>
  <si>
    <t xml:space="preserve">$5-99/mo</t>
  </si>
  <si>
    <t xml:space="preserve">Full commercial</t>
  </si>
  <si>
    <t xml:space="preserve">YouTube monetize ได้</t>
  </si>
  <si>
    <t xml:space="preserve">AIVA</t>
  </si>
  <si>
    <t xml:space="preserve">Free/Pro $15/mo</t>
  </si>
  <si>
    <t xml:space="preserve">No</t>
  </si>
  <si>
    <t xml:space="preserve">Pro = full rights</t>
  </si>
  <si>
    <t xml:space="preserve">คลาสสิก ประกอบเกม</t>
  </si>
  <si>
    <t xml:space="preserve">แต่งเพลง orchestral</t>
  </si>
  <si>
    <t xml:space="preserve">MusicFX (Google)</t>
  </si>
  <si>
    <t xml:space="preserve">Non-commercial</t>
  </si>
  <si>
    <t xml:space="preserve">ทดลองฟรี</t>
  </si>
  <si>
    <t xml:space="preserve">ใน AI Test Kitchen</t>
  </si>
  <si>
    <t xml:space="preserve">Text-to-Speech &amp; Voice Clone</t>
  </si>
  <si>
    <t xml:space="preserve">API Price</t>
  </si>
  <si>
    <t xml:space="preserve">Languages</t>
  </si>
  <si>
    <t xml:space="preserve">ElevenLabs</t>
  </si>
  <si>
    <t xml:space="preserve">$0.18/1K chars</t>
  </si>
  <si>
    <t xml:space="preserve">32+</t>
  </si>
  <si>
    <t xml:space="preserve">Premium English</t>
  </si>
  <si>
    <t xml:space="preserve">Clone 30 วินาที</t>
  </si>
  <si>
    <t xml:space="preserve">Fish Audio S1</t>
  </si>
  <si>
    <t xml:space="preserve">~$60-90/yr</t>
  </si>
  <si>
    <t xml:space="preserve">~$0.08/1K chars</t>
  </si>
  <si>
    <t xml:space="preserve">30+</t>
  </si>
  <si>
    <t xml:space="preserve">คุ้มค่า หลายภาษา</t>
  </si>
  <si>
    <t xml:space="preserve">Clone 15 วินาที</t>
  </si>
  <si>
    <t xml:space="preserve">OpenAI TTS</t>
  </si>
  <si>
    <t xml:space="preserve">API only</t>
  </si>
  <si>
    <t xml:space="preserve">$15/1M chars</t>
  </si>
  <si>
    <t xml:space="preserve">57+</t>
  </si>
  <si>
    <t xml:space="preserve">ง่ายผ่าน API</t>
  </si>
  <si>
    <t xml:space="preserve">6 เสียง built-in</t>
  </si>
  <si>
    <t xml:space="preserve">Google Cloud TTS</t>
  </si>
  <si>
    <t xml:space="preserve">Enterprise</t>
  </si>
  <si>
    <t xml:space="preserve">$4-16/1M chars</t>
  </si>
  <si>
    <t xml:space="preserve">40+</t>
  </si>
  <si>
    <t xml:space="preserve">องค์กรใหญ่</t>
  </si>
  <si>
    <t xml:space="preserve">Custom Voice $10K+</t>
  </si>
  <si>
    <t xml:space="preserve">Coqui XTTS</t>
  </si>
  <si>
    <t xml:space="preserve">Free (open)</t>
  </si>
  <si>
    <t xml:space="preserve">17+</t>
  </si>
  <si>
    <t xml:space="preserve">Open Source</t>
  </si>
  <si>
    <t xml:space="preserve">Self-host ต้องมี GPU</t>
  </si>
  <si>
    <t xml:space="preserve">AI Coding Assistants Pricing - March 2026</t>
  </si>
  <si>
    <t xml:space="preserve">Developer</t>
  </si>
  <si>
    <t xml:space="preserve">Price</t>
  </si>
  <si>
    <t xml:space="preserve">IDE Support</t>
  </si>
  <si>
    <t xml:space="preserve">Model Used</t>
  </si>
  <si>
    <t xml:space="preserve">GitHub Copilot</t>
  </si>
  <si>
    <t xml:space="preserve">Microsoft</t>
  </si>
  <si>
    <t xml:space="preserve">$10-39/mo</t>
  </si>
  <si>
    <t xml:space="preserve">VS Code, JetBrains, Vim</t>
  </si>
  <si>
    <t xml:space="preserve">Multi-model</t>
  </si>
  <si>
    <t xml:space="preserve">งานทั่วไป boilerplate</t>
  </si>
  <si>
    <t xml:space="preserve">เร็วกว่า 55%</t>
  </si>
  <si>
    <t xml:space="preserve">Cursor</t>
  </si>
  <si>
    <t xml:space="preserve">Anysphere</t>
  </si>
  <si>
    <t xml:space="preserve">$20/mo</t>
  </si>
  <si>
    <t xml:space="preserve">Custom IDE (VS Code fork)</t>
  </si>
  <si>
    <t xml:space="preserve">Claude/GPT</t>
  </si>
  <si>
    <t xml:space="preserve">Codebase refactor</t>
  </si>
  <si>
    <t xml:space="preserve">360K+ ผู้ใช้จ่าย</t>
  </si>
  <si>
    <t xml:space="preserve">Windsurf</t>
  </si>
  <si>
    <t xml:space="preserve">Codeium</t>
  </si>
  <si>
    <t xml:space="preserve">$0-15/mo</t>
  </si>
  <si>
    <t xml:space="preserve">VS Code, JetBrains</t>
  </si>
  <si>
    <t xml:space="preserve">คุ้มค่า เริ่มต้น</t>
  </si>
  <si>
    <t xml:space="preserve">Free tier ดี</t>
  </si>
  <si>
    <t xml:space="preserve">Claude Code</t>
  </si>
  <si>
    <t xml:space="preserve">API pricing</t>
  </si>
  <si>
    <t xml:space="preserve">Terminal (CLI)</t>
  </si>
  <si>
    <t xml:space="preserve">Claude 4.6</t>
  </si>
  <si>
    <t xml:space="preserve">Agentic ซับซ้อน</t>
  </si>
  <si>
    <t xml:space="preserve">SWE-bench 80.9%</t>
  </si>
  <si>
    <t xml:space="preserve">OpenAI Codex CLI</t>
  </si>
  <si>
    <t xml:space="preserve">เร็ว 240 tok/s</t>
  </si>
  <si>
    <t xml:space="preserve">Open source</t>
  </si>
  <si>
    <t xml:space="preserve">Kiro</t>
  </si>
  <si>
    <t xml:space="preserve">AWS</t>
  </si>
  <si>
    <t xml:space="preserve">$0-19/mo</t>
  </si>
  <si>
    <t xml:space="preserve">Custom IDE</t>
  </si>
  <si>
    <t xml:space="preserve">Claude/Multi</t>
  </si>
  <si>
    <t xml:space="preserve">Spec-driven Enterprise</t>
  </si>
  <si>
    <t xml:space="preserve">AWS integration</t>
  </si>
  <si>
    <t xml:space="preserve">Augment Code</t>
  </si>
  <si>
    <t xml:space="preserve">Augment</t>
  </si>
  <si>
    <t xml:space="preserve">$30/mo</t>
  </si>
  <si>
    <t xml:space="preserve">Enterprise codebase</t>
  </si>
  <si>
    <t xml:space="preserve">เข้าใจ codebase ดี</t>
  </si>
  <si>
    <t xml:space="preserve">Tabnine</t>
  </si>
  <si>
    <t xml:space="preserve">$12/mo</t>
  </si>
  <si>
    <t xml:space="preserve">All major IDEs</t>
  </si>
  <si>
    <t xml:space="preserve">Custom models</t>
  </si>
  <si>
    <t xml:space="preserve">Privacy enterprise</t>
  </si>
  <si>
    <t xml:space="preserve">On-premise ได้</t>
  </si>
  <si>
    <t xml:space="preserve">AI Agent Frameworks &amp; RAG Tools - March 2026</t>
  </si>
  <si>
    <t xml:space="preserve">Agent Frameworks</t>
  </si>
  <si>
    <t xml:space="preserve">Framework</t>
  </si>
  <si>
    <t xml:space="preserve">Difficulty</t>
  </si>
  <si>
    <t xml:space="preserve">LangChain/LangGraph</t>
  </si>
  <si>
    <t xml:space="preserve">LangChain Inc.</t>
  </si>
  <si>
    <t xml:space="preserve">MIT</t>
  </si>
  <si>
    <t xml:space="preserve">Medium-High</t>
  </si>
  <si>
    <t xml:space="preserve">Production workflow</t>
  </si>
  <si>
    <t xml:space="preserve">ชุมชนใหญ่สุด</t>
  </si>
  <si>
    <t xml:space="preserve">CrewAI</t>
  </si>
  <si>
    <t xml:space="preserve">Low-Medium</t>
  </si>
  <si>
    <t xml:space="preserve">Multi-agent เร็ว</t>
  </si>
  <si>
    <t xml:space="preserve">Deploy 4 ชม. (312 บ.)</t>
  </si>
  <si>
    <t xml:space="preserve">MS AutoGen/Semantic Kernel</t>
  </si>
  <si>
    <t xml:space="preserve">High</t>
  </si>
  <si>
    <t xml:space="preserve">Enterprise Microsoft</t>
  </si>
  <si>
    <t xml:space="preserve">Azure AD integration</t>
  </si>
  <si>
    <t xml:space="preserve">OpenAI Swarm</t>
  </si>
  <si>
    <t xml:space="preserve">Low</t>
  </si>
  <si>
    <t xml:space="preserve">ทดลอง multi-agent</t>
  </si>
  <si>
    <t xml:space="preserve">เบา เรียนรู้ง่าย</t>
  </si>
  <si>
    <t xml:space="preserve">AutoGPT</t>
  </si>
  <si>
    <t xml:space="preserve">Significant Gravitas</t>
  </si>
  <si>
    <t xml:space="preserve">Medium</t>
  </si>
  <si>
    <t xml:space="preserve">Autonomous agent</t>
  </si>
  <si>
    <t xml:space="preserve">167K+ GitHub stars</t>
  </si>
  <si>
    <t xml:space="preserve">Claude Agent SDK</t>
  </si>
  <si>
    <t xml:space="preserve">Build on Claude</t>
  </si>
  <si>
    <t xml:space="preserve">MCP support</t>
  </si>
  <si>
    <t xml:space="preserve">Vector Databases for RAG</t>
  </si>
  <si>
    <t xml:space="preserve">Database</t>
  </si>
  <si>
    <t xml:space="preserve">Type</t>
  </si>
  <si>
    <t xml:space="preserve">Best Scale</t>
  </si>
  <si>
    <t xml:space="preserve">Pinecone</t>
  </si>
  <si>
    <t xml:space="preserve">Managed Cloud</t>
  </si>
  <si>
    <t xml:space="preserve">Any</t>
  </si>
  <si>
    <t xml:space="preserve">Production zero-ops</t>
  </si>
  <si>
    <t xml:space="preserve">Scale to zero</t>
  </si>
  <si>
    <t xml:space="preserve">Weaviate</t>
  </si>
  <si>
    <t xml:space="preserve">Open Source / Cloud</t>
  </si>
  <si>
    <t xml:space="preserve">Free / Cloud pricing</t>
  </si>
  <si>
    <t xml:space="preserve">Large</t>
  </si>
  <si>
    <t xml:space="preserve">On-premise Kubernetes</t>
  </si>
  <si>
    <t xml:space="preserve">Hybrid search</t>
  </si>
  <si>
    <t xml:space="preserve">Qdrant</t>
  </si>
  <si>
    <t xml:space="preserve">High performance</t>
  </si>
  <si>
    <t xml:space="preserve">Rust-based เร็วมาก</t>
  </si>
  <si>
    <t xml:space="preserve">pgvector</t>
  </si>
  <si>
    <t xml:space="preserve">PostgreSQL Extension</t>
  </si>
  <si>
    <t xml:space="preserve">&lt;5M vectors</t>
  </si>
  <si>
    <t xml:space="preserve">MVP Prototype</t>
  </si>
  <si>
    <t xml:space="preserve">ง่าย ใช้ Postgres เดิม</t>
  </si>
  <si>
    <t xml:space="preserve">Chroma</t>
  </si>
  <si>
    <t xml:space="preserve">Small-Medium</t>
  </si>
  <si>
    <t xml:space="preserve">Prototype เรียนรู้</t>
  </si>
  <si>
    <t xml:space="preserve">เบามาก</t>
  </si>
  <si>
    <t xml:space="preserve">Milvus</t>
  </si>
  <si>
    <t xml:space="preserve">Open Source / Zilliz Cloud</t>
  </si>
  <si>
    <t xml:space="preserve">Free / Cloud</t>
  </si>
  <si>
    <t xml:space="preserve">Very Large</t>
  </si>
  <si>
    <t xml:space="preserve">Enterprise scale</t>
  </si>
  <si>
    <t xml:space="preserve">GPU-accelerated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</si>
</sst>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"/>
    <numFmt numFmtId="166" formatCode="\$#,##0.00"/>
    <numFmt numFmtId="167" formatCode="\$#,##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3B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F57F17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1"/>
      <color rgb="FF1A52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0D3B66"/>
      </patternFill>
    </fill>
    <fill>
      <patternFill patternType="solid">
        <fgColor rgb="FFFDEDEC"/>
        <bgColor rgb="FFF0F5FA"/>
      </patternFill>
    </fill>
    <fill>
      <patternFill patternType="solid">
        <fgColor rgb="FFF0F5FA"/>
        <bgColor rgb="FFE8F5E9"/>
      </patternFill>
    </fill>
    <fill>
      <patternFill patternType="solid">
        <fgColor rgb="FFFFF9C4"/>
        <bgColor rgb="FFFDEDEC"/>
      </patternFill>
    </fill>
    <fill>
      <patternFill patternType="solid">
        <fgColor rgb="FFE8F5E9"/>
        <bgColor rgb="FFF0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A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66"/>
      <rgbColor rgb="FF969696"/>
      <rgbColor rgb="FF0D3B66"/>
      <rgbColor rgb="FF2E7D32"/>
      <rgbColor rgb="FF003300"/>
      <rgbColor rgb="FF333300"/>
      <rgbColor rgb="FFC0392B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8" min="8" style="1" width="2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5" t="s">
        <v>11</v>
      </c>
      <c r="C5" s="6" t="n">
        <v>2.5</v>
      </c>
      <c r="D5" s="7" t="n">
        <v>10</v>
      </c>
      <c r="E5" s="8" t="s">
        <v>12</v>
      </c>
      <c r="F5" s="8" t="s">
        <v>13</v>
      </c>
      <c r="G5" s="9" t="s">
        <v>14</v>
      </c>
      <c r="H5" s="8" t="s">
        <v>15</v>
      </c>
    </row>
    <row r="6" customFormat="false" ht="15" hidden="false" customHeight="true" outlineLevel="0" collapsed="false">
      <c r="A6" s="10" t="s">
        <v>10</v>
      </c>
      <c r="B6" s="10" t="s">
        <v>16</v>
      </c>
      <c r="C6" s="11" t="n">
        <v>1.75</v>
      </c>
      <c r="D6" s="12" t="n">
        <v>14</v>
      </c>
      <c r="E6" s="13" t="s">
        <v>12</v>
      </c>
      <c r="F6" s="13" t="s">
        <v>17</v>
      </c>
      <c r="G6" s="9" t="s">
        <v>14</v>
      </c>
      <c r="H6" s="13" t="s">
        <v>18</v>
      </c>
    </row>
    <row r="7" customFormat="false" ht="15" hidden="false" customHeight="true" outlineLevel="0" collapsed="false">
      <c r="A7" s="5" t="s">
        <v>10</v>
      </c>
      <c r="B7" s="5" t="s">
        <v>19</v>
      </c>
      <c r="C7" s="6" t="n">
        <v>3</v>
      </c>
      <c r="D7" s="7" t="n">
        <v>15</v>
      </c>
      <c r="E7" s="8" t="s">
        <v>12</v>
      </c>
      <c r="F7" s="8" t="s">
        <v>20</v>
      </c>
      <c r="G7" s="9" t="s">
        <v>14</v>
      </c>
      <c r="H7" s="8" t="s">
        <v>21</v>
      </c>
    </row>
    <row r="8" customFormat="false" ht="15" hidden="false" customHeight="true" outlineLevel="0" collapsed="false">
      <c r="A8" s="10" t="s">
        <v>10</v>
      </c>
      <c r="B8" s="10" t="s">
        <v>22</v>
      </c>
      <c r="C8" s="11" t="n">
        <v>1.25</v>
      </c>
      <c r="D8" s="12" t="n">
        <v>10</v>
      </c>
      <c r="E8" s="13" t="s">
        <v>12</v>
      </c>
      <c r="F8" s="13" t="s">
        <v>23</v>
      </c>
      <c r="G8" s="14" t="s">
        <v>24</v>
      </c>
      <c r="H8" s="13" t="s">
        <v>25</v>
      </c>
    </row>
    <row r="9" customFormat="false" ht="15" hidden="false" customHeight="true" outlineLevel="0" collapsed="false">
      <c r="A9" s="5" t="s">
        <v>10</v>
      </c>
      <c r="B9" s="5" t="s">
        <v>26</v>
      </c>
      <c r="C9" s="6" t="n">
        <v>0.05</v>
      </c>
      <c r="D9" s="7" t="n">
        <v>0.4</v>
      </c>
      <c r="E9" s="8" t="s">
        <v>12</v>
      </c>
      <c r="F9" s="8" t="s">
        <v>27</v>
      </c>
      <c r="G9" s="15" t="s">
        <v>28</v>
      </c>
      <c r="H9" s="8" t="s">
        <v>29</v>
      </c>
    </row>
    <row r="10" customFormat="false" ht="15" hidden="false" customHeight="true" outlineLevel="0" collapsed="false">
      <c r="A10" s="10" t="s">
        <v>10</v>
      </c>
      <c r="B10" s="10" t="s">
        <v>30</v>
      </c>
      <c r="C10" s="11" t="n">
        <v>150</v>
      </c>
      <c r="D10" s="12" t="n">
        <v>600</v>
      </c>
      <c r="E10" s="13" t="s">
        <v>31</v>
      </c>
      <c r="F10" s="13" t="s">
        <v>32</v>
      </c>
      <c r="G10" s="9" t="s">
        <v>33</v>
      </c>
      <c r="H10" s="13" t="s">
        <v>34</v>
      </c>
    </row>
    <row r="11" customFormat="false" ht="15" hidden="false" customHeight="true" outlineLevel="0" collapsed="false">
      <c r="A11" s="5" t="s">
        <v>10</v>
      </c>
      <c r="B11" s="5" t="s">
        <v>35</v>
      </c>
      <c r="C11" s="6" t="n">
        <v>1.1</v>
      </c>
      <c r="D11" s="7" t="n">
        <v>4.4</v>
      </c>
      <c r="E11" s="8" t="s">
        <v>31</v>
      </c>
      <c r="F11" s="8" t="s">
        <v>36</v>
      </c>
      <c r="G11" s="14" t="s">
        <v>24</v>
      </c>
      <c r="H11" s="8" t="s">
        <v>37</v>
      </c>
    </row>
    <row r="12" customFormat="false" ht="15" hidden="false" customHeight="true" outlineLevel="0" collapsed="false">
      <c r="A12" s="10" t="s">
        <v>38</v>
      </c>
      <c r="B12" s="10" t="s">
        <v>39</v>
      </c>
      <c r="C12" s="11" t="n">
        <v>5</v>
      </c>
      <c r="D12" s="12" t="n">
        <v>25</v>
      </c>
      <c r="E12" s="13" t="s">
        <v>31</v>
      </c>
      <c r="F12" s="13" t="s">
        <v>40</v>
      </c>
      <c r="G12" s="9" t="s">
        <v>14</v>
      </c>
      <c r="H12" s="13" t="s">
        <v>41</v>
      </c>
    </row>
    <row r="13" customFormat="false" ht="15" hidden="false" customHeight="true" outlineLevel="0" collapsed="false">
      <c r="A13" s="5" t="s">
        <v>38</v>
      </c>
      <c r="B13" s="5" t="s">
        <v>42</v>
      </c>
      <c r="C13" s="6" t="n">
        <v>3</v>
      </c>
      <c r="D13" s="7" t="n">
        <v>15</v>
      </c>
      <c r="E13" s="8" t="s">
        <v>31</v>
      </c>
      <c r="F13" s="8" t="s">
        <v>43</v>
      </c>
      <c r="G13" s="14" t="s">
        <v>24</v>
      </c>
      <c r="H13" s="8" t="s">
        <v>44</v>
      </c>
    </row>
    <row r="14" customFormat="false" ht="15" hidden="false" customHeight="true" outlineLevel="0" collapsed="false">
      <c r="A14" s="10" t="s">
        <v>38</v>
      </c>
      <c r="B14" s="10" t="s">
        <v>45</v>
      </c>
      <c r="C14" s="11" t="n">
        <v>1</v>
      </c>
      <c r="D14" s="12" t="n">
        <v>5</v>
      </c>
      <c r="E14" s="13" t="s">
        <v>31</v>
      </c>
      <c r="F14" s="13" t="s">
        <v>46</v>
      </c>
      <c r="G14" s="15" t="s">
        <v>28</v>
      </c>
      <c r="H14" s="13" t="s">
        <v>47</v>
      </c>
    </row>
    <row r="15" customFormat="false" ht="15" hidden="false" customHeight="true" outlineLevel="0" collapsed="false">
      <c r="A15" s="5" t="s">
        <v>48</v>
      </c>
      <c r="B15" s="5" t="s">
        <v>49</v>
      </c>
      <c r="C15" s="6" t="n">
        <v>1.25</v>
      </c>
      <c r="D15" s="7" t="n">
        <v>10</v>
      </c>
      <c r="E15" s="8" t="s">
        <v>50</v>
      </c>
      <c r="F15" s="8" t="s">
        <v>51</v>
      </c>
      <c r="G15" s="9" t="s">
        <v>14</v>
      </c>
      <c r="H15" s="8" t="s">
        <v>52</v>
      </c>
    </row>
    <row r="16" customFormat="false" ht="15" hidden="false" customHeight="true" outlineLevel="0" collapsed="false">
      <c r="A16" s="10" t="s">
        <v>48</v>
      </c>
      <c r="B16" s="10" t="s">
        <v>53</v>
      </c>
      <c r="C16" s="11" t="n">
        <v>0.5</v>
      </c>
      <c r="D16" s="12" t="n">
        <v>3</v>
      </c>
      <c r="E16" s="13" t="s">
        <v>50</v>
      </c>
      <c r="F16" s="13" t="s">
        <v>54</v>
      </c>
      <c r="G16" s="14" t="s">
        <v>24</v>
      </c>
      <c r="H16" s="13" t="s">
        <v>55</v>
      </c>
    </row>
    <row r="17" customFormat="false" ht="15" hidden="false" customHeight="true" outlineLevel="0" collapsed="false">
      <c r="A17" s="5" t="s">
        <v>48</v>
      </c>
      <c r="B17" s="5" t="s">
        <v>56</v>
      </c>
      <c r="C17" s="6" t="n">
        <v>0.1</v>
      </c>
      <c r="D17" s="7" t="n">
        <v>0.4</v>
      </c>
      <c r="E17" s="8" t="s">
        <v>50</v>
      </c>
      <c r="F17" s="8" t="s">
        <v>57</v>
      </c>
      <c r="G17" s="15" t="s">
        <v>28</v>
      </c>
      <c r="H17" s="8" t="s">
        <v>55</v>
      </c>
    </row>
    <row r="18" customFormat="false" ht="15" hidden="false" customHeight="true" outlineLevel="0" collapsed="false">
      <c r="A18" s="10" t="s">
        <v>58</v>
      </c>
      <c r="B18" s="10" t="s">
        <v>59</v>
      </c>
      <c r="C18" s="11" t="n">
        <v>0.28</v>
      </c>
      <c r="D18" s="12" t="n">
        <v>0.42</v>
      </c>
      <c r="E18" s="13" t="s">
        <v>12</v>
      </c>
      <c r="F18" s="13" t="s">
        <v>60</v>
      </c>
      <c r="G18" s="15" t="s">
        <v>28</v>
      </c>
      <c r="H18" s="13" t="s">
        <v>61</v>
      </c>
    </row>
    <row r="19" customFormat="false" ht="15" hidden="false" customHeight="true" outlineLevel="0" collapsed="false">
      <c r="A19" s="5" t="s">
        <v>58</v>
      </c>
      <c r="B19" s="5" t="s">
        <v>62</v>
      </c>
      <c r="C19" s="6" t="n">
        <v>0.5</v>
      </c>
      <c r="D19" s="7" t="n">
        <v>2.18</v>
      </c>
      <c r="E19" s="8" t="s">
        <v>12</v>
      </c>
      <c r="F19" s="8" t="s">
        <v>63</v>
      </c>
      <c r="G19" s="15" t="s">
        <v>28</v>
      </c>
      <c r="H19" s="8" t="s">
        <v>64</v>
      </c>
    </row>
    <row r="20" customFormat="false" ht="15" hidden="false" customHeight="true" outlineLevel="0" collapsed="false">
      <c r="A20" s="10" t="s">
        <v>65</v>
      </c>
      <c r="B20" s="10" t="s">
        <v>66</v>
      </c>
      <c r="C20" s="11" t="n">
        <v>3</v>
      </c>
      <c r="D20" s="12" t="n">
        <v>15</v>
      </c>
      <c r="E20" s="13" t="s">
        <v>12</v>
      </c>
      <c r="F20" s="13" t="s">
        <v>67</v>
      </c>
      <c r="G20" s="14" t="s">
        <v>24</v>
      </c>
      <c r="H20" s="13" t="s">
        <v>68</v>
      </c>
    </row>
    <row r="21" customFormat="false" ht="15" hidden="false" customHeight="true" outlineLevel="0" collapsed="false">
      <c r="A21" s="5" t="s">
        <v>69</v>
      </c>
      <c r="B21" s="5" t="s">
        <v>70</v>
      </c>
      <c r="C21" s="6" t="n">
        <v>2</v>
      </c>
      <c r="D21" s="7" t="n">
        <v>6</v>
      </c>
      <c r="E21" s="8" t="s">
        <v>12</v>
      </c>
      <c r="F21" s="8" t="s">
        <v>71</v>
      </c>
      <c r="G21" s="14" t="s">
        <v>24</v>
      </c>
      <c r="H21" s="8" t="s">
        <v>72</v>
      </c>
    </row>
    <row r="22" customFormat="false" ht="15" hidden="false" customHeight="true" outlineLevel="0" collapsed="false">
      <c r="A22" s="10" t="s">
        <v>69</v>
      </c>
      <c r="B22" s="10" t="s">
        <v>73</v>
      </c>
      <c r="C22" s="11" t="n">
        <v>0.3</v>
      </c>
      <c r="D22" s="12" t="n">
        <v>0.9</v>
      </c>
      <c r="E22" s="13" t="s">
        <v>74</v>
      </c>
      <c r="F22" s="13" t="s">
        <v>75</v>
      </c>
      <c r="G22" s="15" t="s">
        <v>28</v>
      </c>
      <c r="H22" s="13" t="s">
        <v>76</v>
      </c>
    </row>
    <row r="23" customFormat="false" ht="15" hidden="false" customHeight="true" outlineLevel="0" collapsed="false">
      <c r="A23" s="5" t="s">
        <v>77</v>
      </c>
      <c r="B23" s="5" t="s">
        <v>78</v>
      </c>
      <c r="C23" s="6" t="n">
        <v>0</v>
      </c>
      <c r="D23" s="7" t="n">
        <v>0</v>
      </c>
      <c r="E23" s="8" t="s">
        <v>12</v>
      </c>
      <c r="F23" s="8" t="s">
        <v>79</v>
      </c>
      <c r="G23" s="15" t="s">
        <v>80</v>
      </c>
      <c r="H23" s="8" t="s">
        <v>81</v>
      </c>
    </row>
    <row r="24" customFormat="false" ht="15" hidden="false" customHeight="true" outlineLevel="0" collapsed="false">
      <c r="A24" s="10" t="s">
        <v>77</v>
      </c>
      <c r="B24" s="10" t="s">
        <v>82</v>
      </c>
      <c r="C24" s="11" t="n">
        <v>0</v>
      </c>
      <c r="D24" s="12" t="n">
        <v>0</v>
      </c>
      <c r="E24" s="13" t="s">
        <v>12</v>
      </c>
      <c r="F24" s="13" t="s">
        <v>83</v>
      </c>
      <c r="G24" s="15" t="s">
        <v>80</v>
      </c>
      <c r="H24" s="13" t="s">
        <v>84</v>
      </c>
    </row>
    <row r="26" customFormat="false" ht="17.25" hidden="false" customHeight="true" outlineLevel="0" collapsed="false">
      <c r="A26" s="2" t="s">
        <v>85</v>
      </c>
      <c r="B26" s="2"/>
      <c r="C26" s="2"/>
      <c r="D26" s="2"/>
      <c r="E26" s="2"/>
      <c r="F26" s="2"/>
      <c r="G26" s="2"/>
      <c r="H26" s="2"/>
    </row>
    <row r="28" customFormat="false" ht="15" hidden="false" customHeight="true" outlineLevel="0" collapsed="false">
      <c r="A28" s="4" t="s">
        <v>2</v>
      </c>
      <c r="B28" s="4" t="s">
        <v>3</v>
      </c>
      <c r="C28" s="4" t="s">
        <v>86</v>
      </c>
      <c r="D28" s="4" t="s">
        <v>87</v>
      </c>
      <c r="E28" s="4" t="s">
        <v>88</v>
      </c>
    </row>
    <row r="29" customFormat="false" ht="15" hidden="false" customHeight="true" outlineLevel="0" collapsed="false">
      <c r="A29" s="5" t="str">
        <f aca="false">A5</f>
        <v>OpenAI</v>
      </c>
      <c r="B29" s="5" t="str">
        <f aca="false">B5</f>
        <v>GPT-5.4 (Flagship)</v>
      </c>
      <c r="C29" s="16" t="n">
        <f aca="false">C5/1000000*1000</f>
        <v>0.0025</v>
      </c>
      <c r="D29" s="16" t="n">
        <f aca="false">D5/1000000*500</f>
        <v>0.005</v>
      </c>
      <c r="E29" s="16" t="n">
        <f aca="false">C29+D29</f>
        <v>0.0075</v>
      </c>
    </row>
    <row r="30" customFormat="false" ht="15" hidden="false" customHeight="true" outlineLevel="0" collapsed="false">
      <c r="A30" s="10" t="str">
        <f aca="false">A6</f>
        <v>OpenAI</v>
      </c>
      <c r="B30" s="10" t="str">
        <f aca="false">B6</f>
        <v>GPT-5.2</v>
      </c>
      <c r="C30" s="17" t="n">
        <f aca="false">C6/1000000*1000</f>
        <v>0.00175</v>
      </c>
      <c r="D30" s="17" t="n">
        <f aca="false">D6/1000000*500</f>
        <v>0.007</v>
      </c>
      <c r="E30" s="17" t="n">
        <f aca="false">C30+D30</f>
        <v>0.00875</v>
      </c>
    </row>
    <row r="31" customFormat="false" ht="15" hidden="false" customHeight="true" outlineLevel="0" collapsed="false">
      <c r="A31" s="5" t="str">
        <f aca="false">A7</f>
        <v>OpenAI</v>
      </c>
      <c r="B31" s="5" t="str">
        <f aca="false">B7</f>
        <v>GPT-5.3-Codex</v>
      </c>
      <c r="C31" s="16" t="n">
        <f aca="false">C7/1000000*1000</f>
        <v>0.003</v>
      </c>
      <c r="D31" s="16" t="n">
        <f aca="false">D7/1000000*500</f>
        <v>0.0075</v>
      </c>
      <c r="E31" s="16" t="n">
        <f aca="false">C31+D31</f>
        <v>0.0105</v>
      </c>
    </row>
    <row r="32" customFormat="false" ht="15" hidden="false" customHeight="true" outlineLevel="0" collapsed="false">
      <c r="A32" s="10" t="str">
        <f aca="false">A8</f>
        <v>OpenAI</v>
      </c>
      <c r="B32" s="10" t="str">
        <f aca="false">B8</f>
        <v>GPT-5</v>
      </c>
      <c r="C32" s="17" t="n">
        <f aca="false">C8/1000000*1000</f>
        <v>0.00125</v>
      </c>
      <c r="D32" s="17" t="n">
        <f aca="false">D8/1000000*500</f>
        <v>0.005</v>
      </c>
      <c r="E32" s="17" t="n">
        <f aca="false">C32+D32</f>
        <v>0.00625</v>
      </c>
    </row>
    <row r="33" customFormat="false" ht="15" hidden="false" customHeight="true" outlineLevel="0" collapsed="false">
      <c r="A33" s="5" t="str">
        <f aca="false">A9</f>
        <v>OpenAI</v>
      </c>
      <c r="B33" s="5" t="str">
        <f aca="false">B9</f>
        <v>GPT-5 Nano</v>
      </c>
      <c r="C33" s="16" t="n">
        <f aca="false">C9/1000000*1000</f>
        <v>5E-005</v>
      </c>
      <c r="D33" s="16" t="n">
        <f aca="false">D9/1000000*500</f>
        <v>0.0002</v>
      </c>
      <c r="E33" s="16" t="n">
        <f aca="false">C33+D33</f>
        <v>0.00025</v>
      </c>
    </row>
    <row r="34" customFormat="false" ht="15" hidden="false" customHeight="true" outlineLevel="0" collapsed="false">
      <c r="A34" s="10" t="str">
        <f aca="false">A10</f>
        <v>OpenAI</v>
      </c>
      <c r="B34" s="10" t="str">
        <f aca="false">B10</f>
        <v>o3 Pro</v>
      </c>
      <c r="C34" s="17" t="n">
        <f aca="false">C10/1000000*1000</f>
        <v>0.15</v>
      </c>
      <c r="D34" s="17" t="n">
        <f aca="false">D10/1000000*500</f>
        <v>0.3</v>
      </c>
      <c r="E34" s="17" t="n">
        <f aca="false">C34+D34</f>
        <v>0.45</v>
      </c>
    </row>
    <row r="35" customFormat="false" ht="15" hidden="false" customHeight="true" outlineLevel="0" collapsed="false">
      <c r="A35" s="5" t="str">
        <f aca="false">A11</f>
        <v>OpenAI</v>
      </c>
      <c r="B35" s="5" t="str">
        <f aca="false">B11</f>
        <v>o4-mini</v>
      </c>
      <c r="C35" s="16" t="n">
        <f aca="false">C11/1000000*1000</f>
        <v>0.0011</v>
      </c>
      <c r="D35" s="16" t="n">
        <f aca="false">D11/1000000*500</f>
        <v>0.0022</v>
      </c>
      <c r="E35" s="16" t="n">
        <f aca="false">C35+D35</f>
        <v>0.0033</v>
      </c>
    </row>
    <row r="36" customFormat="false" ht="15" hidden="false" customHeight="true" outlineLevel="0" collapsed="false">
      <c r="A36" s="10" t="str">
        <f aca="false">A12</f>
        <v>Anthropic</v>
      </c>
      <c r="B36" s="10" t="str">
        <f aca="false">B12</f>
        <v>Claude Opus 4.6</v>
      </c>
      <c r="C36" s="17" t="n">
        <f aca="false">C12/1000000*1000</f>
        <v>0.005</v>
      </c>
      <c r="D36" s="17" t="n">
        <f aca="false">D12/1000000*500</f>
        <v>0.0125</v>
      </c>
      <c r="E36" s="17" t="n">
        <f aca="false">C36+D36</f>
        <v>0.0175</v>
      </c>
    </row>
    <row r="37" customFormat="false" ht="15" hidden="false" customHeight="true" outlineLevel="0" collapsed="false">
      <c r="A37" s="5" t="str">
        <f aca="false">A13</f>
        <v>Anthropic</v>
      </c>
      <c r="B37" s="5" t="str">
        <f aca="false">B13</f>
        <v>Claude Sonnet 4.6</v>
      </c>
      <c r="C37" s="16" t="n">
        <f aca="false">C13/1000000*1000</f>
        <v>0.003</v>
      </c>
      <c r="D37" s="16" t="n">
        <f aca="false">D13/1000000*500</f>
        <v>0.0075</v>
      </c>
      <c r="E37" s="16" t="n">
        <f aca="false">C37+D37</f>
        <v>0.0105</v>
      </c>
    </row>
    <row r="38" customFormat="false" ht="15" hidden="false" customHeight="true" outlineLevel="0" collapsed="false">
      <c r="A38" s="10" t="str">
        <f aca="false">A14</f>
        <v>Anthropic</v>
      </c>
      <c r="B38" s="10" t="str">
        <f aca="false">B14</f>
        <v>Claude Haiku 4.5</v>
      </c>
      <c r="C38" s="17" t="n">
        <f aca="false">C14/1000000*1000</f>
        <v>0.001</v>
      </c>
      <c r="D38" s="17" t="n">
        <f aca="false">D14/1000000*500</f>
        <v>0.0025</v>
      </c>
      <c r="E38" s="17" t="n">
        <f aca="false">C38+D38</f>
        <v>0.0035</v>
      </c>
    </row>
    <row r="39" customFormat="false" ht="15" hidden="false" customHeight="true" outlineLevel="0" collapsed="false">
      <c r="A39" s="5" t="str">
        <f aca="false">A15</f>
        <v>Google</v>
      </c>
      <c r="B39" s="5" t="str">
        <f aca="false">B15</f>
        <v>Gemini 2.5 Pro</v>
      </c>
      <c r="C39" s="16" t="n">
        <f aca="false">C15/1000000*1000</f>
        <v>0.00125</v>
      </c>
      <c r="D39" s="16" t="n">
        <f aca="false">D15/1000000*500</f>
        <v>0.005</v>
      </c>
      <c r="E39" s="16" t="n">
        <f aca="false">C39+D39</f>
        <v>0.00625</v>
      </c>
    </row>
    <row r="40" customFormat="false" ht="15" hidden="false" customHeight="true" outlineLevel="0" collapsed="false">
      <c r="A40" s="10" t="str">
        <f aca="false">A16</f>
        <v>Google</v>
      </c>
      <c r="B40" s="10" t="str">
        <f aca="false">B16</f>
        <v>Gemini 3 Flash</v>
      </c>
      <c r="C40" s="17" t="n">
        <f aca="false">C16/1000000*1000</f>
        <v>0.0005</v>
      </c>
      <c r="D40" s="17" t="n">
        <f aca="false">D16/1000000*500</f>
        <v>0.0015</v>
      </c>
      <c r="E40" s="17" t="n">
        <f aca="false">C40+D40</f>
        <v>0.002</v>
      </c>
    </row>
    <row r="41" customFormat="false" ht="15" hidden="false" customHeight="true" outlineLevel="0" collapsed="false">
      <c r="A41" s="5" t="str">
        <f aca="false">A17</f>
        <v>Google</v>
      </c>
      <c r="B41" s="5" t="str">
        <f aca="false">B17</f>
        <v>Gemini 2.0 Flash-Lite</v>
      </c>
      <c r="C41" s="16" t="n">
        <f aca="false">C17/1000000*1000</f>
        <v>0.0001</v>
      </c>
      <c r="D41" s="16" t="n">
        <f aca="false">D17/1000000*500</f>
        <v>0.0002</v>
      </c>
      <c r="E41" s="16" t="n">
        <f aca="false">C41+D41</f>
        <v>0.0003</v>
      </c>
    </row>
    <row r="42" customFormat="false" ht="15" hidden="false" customHeight="true" outlineLevel="0" collapsed="false">
      <c r="A42" s="10" t="str">
        <f aca="false">A18</f>
        <v>DeepSeek</v>
      </c>
      <c r="B42" s="10" t="str">
        <f aca="false">B18</f>
        <v>DeepSeek V3.2</v>
      </c>
      <c r="C42" s="17" t="n">
        <f aca="false">C18/1000000*1000</f>
        <v>0.00028</v>
      </c>
      <c r="D42" s="17" t="n">
        <f aca="false">D18/1000000*500</f>
        <v>0.00021</v>
      </c>
      <c r="E42" s="17" t="n">
        <f aca="false">C42+D42</f>
        <v>0.00049</v>
      </c>
    </row>
    <row r="43" customFormat="false" ht="15" hidden="false" customHeight="true" outlineLevel="0" collapsed="false">
      <c r="A43" s="5" t="str">
        <f aca="false">A19</f>
        <v>DeepSeek</v>
      </c>
      <c r="B43" s="5" t="str">
        <f aca="false">B19</f>
        <v>DeepSeek R1</v>
      </c>
      <c r="C43" s="16" t="n">
        <f aca="false">C19/1000000*1000</f>
        <v>0.0005</v>
      </c>
      <c r="D43" s="16" t="n">
        <f aca="false">D19/1000000*500</f>
        <v>0.00109</v>
      </c>
      <c r="E43" s="16" t="n">
        <f aca="false">C43+D43</f>
        <v>0.00159</v>
      </c>
    </row>
    <row r="44" customFormat="false" ht="15" hidden="false" customHeight="true" outlineLevel="0" collapsed="false">
      <c r="A44" s="10" t="str">
        <f aca="false">A20</f>
        <v>xAI</v>
      </c>
      <c r="B44" s="10" t="str">
        <f aca="false">B20</f>
        <v>Grok 3</v>
      </c>
      <c r="C44" s="17" t="n">
        <f aca="false">C20/1000000*1000</f>
        <v>0.003</v>
      </c>
      <c r="D44" s="17" t="n">
        <f aca="false">D20/1000000*500</f>
        <v>0.0075</v>
      </c>
      <c r="E44" s="17" t="n">
        <f aca="false">C44+D44</f>
        <v>0.0105</v>
      </c>
    </row>
    <row r="45" customFormat="false" ht="15" hidden="false" customHeight="true" outlineLevel="0" collapsed="false">
      <c r="A45" s="5" t="str">
        <f aca="false">A21</f>
        <v>Mistral</v>
      </c>
      <c r="B45" s="5" t="str">
        <f aca="false">B21</f>
        <v>Mistral Large 2</v>
      </c>
      <c r="C45" s="16" t="n">
        <f aca="false">C21/1000000*1000</f>
        <v>0.002</v>
      </c>
      <c r="D45" s="16" t="n">
        <f aca="false">D21/1000000*500</f>
        <v>0.003</v>
      </c>
      <c r="E45" s="16" t="n">
        <f aca="false">C45+D45</f>
        <v>0.005</v>
      </c>
    </row>
    <row r="46" customFormat="false" ht="15" hidden="false" customHeight="true" outlineLevel="0" collapsed="false">
      <c r="A46" s="10" t="str">
        <f aca="false">A22</f>
        <v>Mistral</v>
      </c>
      <c r="B46" s="10" t="str">
        <f aca="false">B22</f>
        <v>Codestral</v>
      </c>
      <c r="C46" s="17" t="n">
        <f aca="false">C22/1000000*1000</f>
        <v>0.0003</v>
      </c>
      <c r="D46" s="17" t="n">
        <f aca="false">D22/1000000*500</f>
        <v>0.00045</v>
      </c>
      <c r="E46" s="17" t="n">
        <f aca="false">C46+D46</f>
        <v>0.00075</v>
      </c>
    </row>
    <row r="47" customFormat="false" ht="15" hidden="false" customHeight="true" outlineLevel="0" collapsed="false">
      <c r="A47" s="5" t="str">
        <f aca="false">A23</f>
        <v>Meta</v>
      </c>
      <c r="B47" s="5" t="str">
        <f aca="false">B23</f>
        <v>Llama 4 Scout</v>
      </c>
      <c r="C47" s="16" t="n">
        <f aca="false">C23/1000000*1000</f>
        <v>0</v>
      </c>
      <c r="D47" s="16" t="n">
        <f aca="false">D23/1000000*500</f>
        <v>0</v>
      </c>
      <c r="E47" s="16" t="n">
        <f aca="false">C47+D47</f>
        <v>0</v>
      </c>
    </row>
    <row r="48" customFormat="false" ht="15" hidden="false" customHeight="true" outlineLevel="0" collapsed="false">
      <c r="A48" s="10" t="str">
        <f aca="false">A24</f>
        <v>Meta</v>
      </c>
      <c r="B48" s="10" t="str">
        <f aca="false">B24</f>
        <v>Llama 4 Maverick</v>
      </c>
      <c r="C48" s="17" t="n">
        <f aca="false">C24/1000000*1000</f>
        <v>0</v>
      </c>
      <c r="D48" s="17" t="n">
        <f aca="false">D24/1000000*500</f>
        <v>0</v>
      </c>
      <c r="E48" s="17" t="n">
        <f aca="false">C48+D48</f>
        <v>0</v>
      </c>
    </row>
  </sheetData>
  <mergeCells count="3">
    <mergeCell ref="A1:H1"/>
    <mergeCell ref="A2:H2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0"/>
    <col collapsed="false" customWidth="true" hidden="false" outlineLevel="0" max="4" min="3" style="1" width="14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89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90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7</v>
      </c>
      <c r="F4" s="4" t="s">
        <v>95</v>
      </c>
      <c r="G4" s="4" t="s">
        <v>9</v>
      </c>
    </row>
    <row r="5" customFormat="false" ht="15" hidden="false" customHeight="true" outlineLevel="0" collapsed="false">
      <c r="A5" s="5" t="s">
        <v>96</v>
      </c>
      <c r="B5" s="5" t="s">
        <v>97</v>
      </c>
      <c r="C5" s="8" t="s">
        <v>98</v>
      </c>
      <c r="D5" s="8" t="s">
        <v>99</v>
      </c>
      <c r="E5" s="8" t="s">
        <v>100</v>
      </c>
      <c r="F5" s="8" t="s">
        <v>101</v>
      </c>
      <c r="G5" s="8" t="s">
        <v>102</v>
      </c>
    </row>
    <row r="6" customFormat="false" ht="15" hidden="false" customHeight="true" outlineLevel="0" collapsed="false">
      <c r="A6" s="10" t="s">
        <v>103</v>
      </c>
      <c r="B6" s="10" t="s">
        <v>104</v>
      </c>
      <c r="C6" s="13" t="s">
        <v>105</v>
      </c>
      <c r="D6" s="13" t="s">
        <v>106</v>
      </c>
      <c r="E6" s="13" t="s">
        <v>107</v>
      </c>
      <c r="F6" s="13" t="s">
        <v>101</v>
      </c>
      <c r="G6" s="13" t="s">
        <v>108</v>
      </c>
    </row>
    <row r="7" customFormat="false" ht="23.25" hidden="false" customHeight="true" outlineLevel="0" collapsed="false">
      <c r="A7" s="5" t="s">
        <v>109</v>
      </c>
      <c r="B7" s="5" t="s">
        <v>110</v>
      </c>
      <c r="C7" s="8" t="s">
        <v>111</v>
      </c>
      <c r="D7" s="8" t="s">
        <v>112</v>
      </c>
      <c r="E7" s="8" t="s">
        <v>113</v>
      </c>
      <c r="F7" s="8" t="s">
        <v>114</v>
      </c>
      <c r="G7" s="8" t="s">
        <v>115</v>
      </c>
    </row>
    <row r="8" customFormat="false" ht="15" hidden="false" customHeight="true" outlineLevel="0" collapsed="false">
      <c r="A8" s="10" t="s">
        <v>116</v>
      </c>
      <c r="B8" s="10" t="s">
        <v>117</v>
      </c>
      <c r="C8" s="13" t="s">
        <v>118</v>
      </c>
      <c r="D8" s="13" t="s">
        <v>106</v>
      </c>
      <c r="E8" s="13" t="s">
        <v>119</v>
      </c>
      <c r="F8" s="13" t="s">
        <v>101</v>
      </c>
      <c r="G8" s="13" t="s">
        <v>120</v>
      </c>
    </row>
    <row r="9" customFormat="false" ht="15" hidden="false" customHeight="true" outlineLevel="0" collapsed="false">
      <c r="A9" s="5" t="s">
        <v>121</v>
      </c>
      <c r="B9" s="5" t="s">
        <v>122</v>
      </c>
      <c r="C9" s="8" t="s">
        <v>123</v>
      </c>
      <c r="D9" s="8" t="s">
        <v>106</v>
      </c>
      <c r="E9" s="8" t="s">
        <v>124</v>
      </c>
      <c r="F9" s="8" t="s">
        <v>125</v>
      </c>
      <c r="G9" s="8" t="s">
        <v>126</v>
      </c>
    </row>
    <row r="10" customFormat="false" ht="15" hidden="false" customHeight="true" outlineLevel="0" collapsed="false">
      <c r="A10" s="10" t="s">
        <v>127</v>
      </c>
      <c r="B10" s="10" t="s">
        <v>128</v>
      </c>
      <c r="C10" s="13" t="s">
        <v>129</v>
      </c>
      <c r="D10" s="13" t="s">
        <v>106</v>
      </c>
      <c r="E10" s="13" t="s">
        <v>130</v>
      </c>
      <c r="F10" s="13" t="s">
        <v>131</v>
      </c>
      <c r="G10" s="13" t="s">
        <v>132</v>
      </c>
    </row>
    <row r="11" customFormat="false" ht="15" hidden="false" customHeight="true" outlineLevel="0" collapsed="false">
      <c r="A11" s="5" t="s">
        <v>133</v>
      </c>
      <c r="B11" s="5" t="s">
        <v>134</v>
      </c>
      <c r="C11" s="8" t="s">
        <v>135</v>
      </c>
      <c r="D11" s="8" t="s">
        <v>106</v>
      </c>
      <c r="E11" s="8" t="s">
        <v>136</v>
      </c>
      <c r="F11" s="8" t="s">
        <v>101</v>
      </c>
      <c r="G11" s="8" t="s">
        <v>137</v>
      </c>
    </row>
    <row r="12" customFormat="false" ht="15" hidden="false" customHeight="true" outlineLevel="0" collapsed="false">
      <c r="A12" s="10" t="s">
        <v>138</v>
      </c>
      <c r="B12" s="10" t="s">
        <v>139</v>
      </c>
      <c r="C12" s="13" t="s">
        <v>140</v>
      </c>
      <c r="D12" s="13" t="s">
        <v>106</v>
      </c>
      <c r="E12" s="13" t="s">
        <v>141</v>
      </c>
      <c r="F12" s="13" t="s">
        <v>101</v>
      </c>
      <c r="G12" s="13" t="s">
        <v>142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8"/>
    <col collapsed="false" customWidth="true" hidden="false" outlineLevel="0" max="3" min="3" style="1" width="24"/>
    <col collapsed="false" customWidth="true" hidden="false" outlineLevel="0" max="5" min="4" style="1" width="14"/>
    <col collapsed="false" customWidth="true" hidden="false" outlineLevel="0" max="6" min="6" style="1" width="22"/>
    <col collapsed="false" customWidth="true" hidden="false" outlineLevel="0" max="7" min="7" style="1" width="32"/>
  </cols>
  <sheetData>
    <row r="1" customFormat="false" ht="17.25" hidden="false" customHeight="true" outlineLevel="0" collapsed="false">
      <c r="A1" s="2" t="s">
        <v>143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91</v>
      </c>
      <c r="B4" s="4" t="s">
        <v>145</v>
      </c>
      <c r="C4" s="4" t="s">
        <v>146</v>
      </c>
      <c r="D4" s="4" t="s">
        <v>147</v>
      </c>
      <c r="E4" s="4" t="s">
        <v>148</v>
      </c>
      <c r="F4" s="4" t="s">
        <v>149</v>
      </c>
      <c r="G4" s="4" t="s">
        <v>150</v>
      </c>
    </row>
    <row r="5" customFormat="false" ht="15" hidden="false" customHeight="true" outlineLevel="0" collapsed="false">
      <c r="A5" s="5" t="s">
        <v>151</v>
      </c>
      <c r="B5" s="5" t="s">
        <v>152</v>
      </c>
      <c r="C5" s="8" t="s">
        <v>153</v>
      </c>
      <c r="D5" s="8" t="s">
        <v>154</v>
      </c>
      <c r="E5" s="8" t="s">
        <v>155</v>
      </c>
      <c r="F5" s="8" t="s">
        <v>156</v>
      </c>
      <c r="G5" s="8" t="s">
        <v>157</v>
      </c>
    </row>
    <row r="6" customFormat="false" ht="23.25" hidden="false" customHeight="true" outlineLevel="0" collapsed="false">
      <c r="A6" s="10" t="s">
        <v>158</v>
      </c>
      <c r="B6" s="10" t="s">
        <v>159</v>
      </c>
      <c r="C6" s="13" t="s">
        <v>160</v>
      </c>
      <c r="D6" s="13" t="s">
        <v>161</v>
      </c>
      <c r="E6" s="13" t="s">
        <v>155</v>
      </c>
      <c r="F6" s="13" t="s">
        <v>162</v>
      </c>
      <c r="G6" s="13" t="s">
        <v>163</v>
      </c>
    </row>
    <row r="7" customFormat="false" ht="15" hidden="false" customHeight="true" outlineLevel="0" collapsed="false">
      <c r="A7" s="5" t="s">
        <v>164</v>
      </c>
      <c r="B7" s="5" t="s">
        <v>165</v>
      </c>
      <c r="C7" s="8" t="s">
        <v>166</v>
      </c>
      <c r="D7" s="8" t="s">
        <v>167</v>
      </c>
      <c r="E7" s="8" t="s">
        <v>168</v>
      </c>
      <c r="F7" s="8" t="s">
        <v>169</v>
      </c>
      <c r="G7" s="8" t="s">
        <v>170</v>
      </c>
    </row>
    <row r="8" customFormat="false" ht="15" hidden="false" customHeight="true" outlineLevel="0" collapsed="false">
      <c r="A8" s="10" t="s">
        <v>171</v>
      </c>
      <c r="B8" s="10" t="s">
        <v>172</v>
      </c>
      <c r="C8" s="13" t="s">
        <v>173</v>
      </c>
      <c r="D8" s="13" t="s">
        <v>174</v>
      </c>
      <c r="E8" s="13" t="s">
        <v>155</v>
      </c>
      <c r="F8" s="13" t="s">
        <v>175</v>
      </c>
      <c r="G8" s="13" t="s">
        <v>176</v>
      </c>
    </row>
    <row r="9" customFormat="false" ht="15" hidden="false" customHeight="true" outlineLevel="0" collapsed="false">
      <c r="A9" s="5" t="s">
        <v>177</v>
      </c>
      <c r="B9" s="5" t="s">
        <v>178</v>
      </c>
      <c r="C9" s="8" t="s">
        <v>179</v>
      </c>
      <c r="D9" s="8" t="s">
        <v>161</v>
      </c>
      <c r="E9" s="8" t="s">
        <v>155</v>
      </c>
      <c r="F9" s="8" t="s">
        <v>180</v>
      </c>
      <c r="G9" s="8" t="s">
        <v>181</v>
      </c>
    </row>
    <row r="10" customFormat="false" ht="15" hidden="false" customHeight="true" outlineLevel="0" collapsed="false">
      <c r="A10" s="10" t="s">
        <v>182</v>
      </c>
      <c r="B10" s="10" t="s">
        <v>183</v>
      </c>
      <c r="C10" s="13" t="s">
        <v>184</v>
      </c>
      <c r="D10" s="13" t="s">
        <v>161</v>
      </c>
      <c r="E10" s="13" t="s">
        <v>185</v>
      </c>
      <c r="F10" s="13" t="s">
        <v>186</v>
      </c>
      <c r="G10" s="13" t="s">
        <v>187</v>
      </c>
    </row>
    <row r="11" customFormat="false" ht="15" hidden="false" customHeight="true" outlineLevel="0" collapsed="false">
      <c r="A11" s="5" t="s">
        <v>188</v>
      </c>
      <c r="B11" s="5" t="s">
        <v>189</v>
      </c>
      <c r="C11" s="8" t="s">
        <v>190</v>
      </c>
      <c r="D11" s="8" t="s">
        <v>191</v>
      </c>
      <c r="E11" s="8" t="s">
        <v>192</v>
      </c>
      <c r="F11" s="8" t="s">
        <v>193</v>
      </c>
      <c r="G11" s="8" t="s">
        <v>194</v>
      </c>
    </row>
    <row r="12" customFormat="false" ht="15" hidden="false" customHeight="true" outlineLevel="0" collapsed="false">
      <c r="A12" s="10" t="s">
        <v>195</v>
      </c>
      <c r="B12" s="10" t="s">
        <v>196</v>
      </c>
      <c r="C12" s="13" t="s">
        <v>197</v>
      </c>
      <c r="D12" s="13" t="s">
        <v>161</v>
      </c>
      <c r="E12" s="13" t="s">
        <v>155</v>
      </c>
      <c r="F12" s="13" t="s">
        <v>198</v>
      </c>
      <c r="G12" s="13" t="s">
        <v>199</v>
      </c>
    </row>
    <row r="13" customFormat="false" ht="15" hidden="false" customHeight="false" outlineLevel="0" collapsed="false">
      <c r="A13" s="5" t="s">
        <v>200</v>
      </c>
      <c r="B13" s="5" t="s">
        <v>201</v>
      </c>
      <c r="C13" s="8" t="s">
        <v>202</v>
      </c>
      <c r="D13" s="8" t="s">
        <v>161</v>
      </c>
      <c r="E13" s="8" t="s">
        <v>155</v>
      </c>
      <c r="F13" s="8" t="s">
        <v>203</v>
      </c>
      <c r="G13" s="8" t="s">
        <v>204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" t="s">
        <v>205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8" t="s">
        <v>206</v>
      </c>
    </row>
    <row r="4" customFormat="false" ht="26.25" hidden="false" customHeight="true" outlineLevel="0" collapsed="false">
      <c r="A4" s="4" t="s">
        <v>91</v>
      </c>
      <c r="B4" s="4" t="s">
        <v>92</v>
      </c>
      <c r="C4" s="4" t="s">
        <v>94</v>
      </c>
      <c r="D4" s="4" t="s">
        <v>207</v>
      </c>
      <c r="E4" s="4" t="s">
        <v>7</v>
      </c>
      <c r="F4" s="4" t="s">
        <v>9</v>
      </c>
    </row>
    <row r="5" customFormat="false" ht="23.25" hidden="false" customHeight="true" outlineLevel="0" collapsed="false">
      <c r="A5" s="5" t="s">
        <v>208</v>
      </c>
      <c r="B5" s="5" t="s">
        <v>209</v>
      </c>
      <c r="C5" s="8" t="s">
        <v>106</v>
      </c>
      <c r="D5" s="8" t="s">
        <v>210</v>
      </c>
      <c r="E5" s="8" t="s">
        <v>211</v>
      </c>
      <c r="F5" s="8" t="s">
        <v>212</v>
      </c>
    </row>
    <row r="6" customFormat="false" ht="23.25" hidden="false" customHeight="true" outlineLevel="0" collapsed="false">
      <c r="A6" s="10" t="s">
        <v>213</v>
      </c>
      <c r="B6" s="10" t="s">
        <v>209</v>
      </c>
      <c r="C6" s="13" t="s">
        <v>106</v>
      </c>
      <c r="D6" s="13" t="s">
        <v>214</v>
      </c>
      <c r="E6" s="13" t="s">
        <v>215</v>
      </c>
      <c r="F6" s="13" t="s">
        <v>216</v>
      </c>
    </row>
    <row r="7" customFormat="false" ht="23.25" hidden="false" customHeight="true" outlineLevel="0" collapsed="false">
      <c r="A7" s="5" t="s">
        <v>217</v>
      </c>
      <c r="B7" s="5" t="s">
        <v>218</v>
      </c>
      <c r="C7" s="8" t="s">
        <v>106</v>
      </c>
      <c r="D7" s="8" t="s">
        <v>219</v>
      </c>
      <c r="E7" s="8" t="s">
        <v>130</v>
      </c>
      <c r="F7" s="8" t="s">
        <v>220</v>
      </c>
    </row>
    <row r="8" customFormat="false" ht="23.25" hidden="false" customHeight="true" outlineLevel="0" collapsed="false">
      <c r="A8" s="10" t="s">
        <v>221</v>
      </c>
      <c r="B8" s="10" t="s">
        <v>222</v>
      </c>
      <c r="C8" s="13" t="s">
        <v>223</v>
      </c>
      <c r="D8" s="13" t="s">
        <v>224</v>
      </c>
      <c r="E8" s="13" t="s">
        <v>225</v>
      </c>
      <c r="F8" s="13" t="s">
        <v>226</v>
      </c>
    </row>
    <row r="9" customFormat="false" ht="23.25" hidden="false" customHeight="true" outlineLevel="0" collapsed="false">
      <c r="A9" s="5" t="s">
        <v>227</v>
      </c>
      <c r="B9" s="5" t="s">
        <v>80</v>
      </c>
      <c r="C9" s="8" t="s">
        <v>223</v>
      </c>
      <c r="D9" s="8" t="s">
        <v>228</v>
      </c>
      <c r="E9" s="8" t="s">
        <v>229</v>
      </c>
      <c r="F9" s="8" t="s">
        <v>230</v>
      </c>
    </row>
    <row r="12" customFormat="false" ht="15" hidden="false" customHeight="true" outlineLevel="0" collapsed="false">
      <c r="A12" s="18" t="s">
        <v>231</v>
      </c>
    </row>
    <row r="13" customFormat="false" ht="15" hidden="false" customHeight="true" outlineLevel="0" collapsed="false">
      <c r="A13" s="4" t="s">
        <v>91</v>
      </c>
      <c r="B13" s="4" t="s">
        <v>92</v>
      </c>
      <c r="C13" s="4" t="s">
        <v>232</v>
      </c>
      <c r="D13" s="4" t="s">
        <v>233</v>
      </c>
      <c r="E13" s="4" t="s">
        <v>7</v>
      </c>
      <c r="F13" s="4" t="s">
        <v>9</v>
      </c>
    </row>
    <row r="14" customFormat="false" ht="15" hidden="false" customHeight="true" outlineLevel="0" collapsed="false">
      <c r="A14" s="5" t="s">
        <v>234</v>
      </c>
      <c r="B14" s="5" t="s">
        <v>218</v>
      </c>
      <c r="C14" s="8" t="s">
        <v>235</v>
      </c>
      <c r="D14" s="8" t="s">
        <v>236</v>
      </c>
      <c r="E14" s="8" t="s">
        <v>237</v>
      </c>
      <c r="F14" s="8" t="s">
        <v>238</v>
      </c>
    </row>
    <row r="15" customFormat="false" ht="15" hidden="false" customHeight="true" outlineLevel="0" collapsed="false">
      <c r="A15" s="10" t="s">
        <v>239</v>
      </c>
      <c r="B15" s="10" t="s">
        <v>240</v>
      </c>
      <c r="C15" s="13" t="s">
        <v>241</v>
      </c>
      <c r="D15" s="13" t="s">
        <v>242</v>
      </c>
      <c r="E15" s="13" t="s">
        <v>243</v>
      </c>
      <c r="F15" s="13" t="s">
        <v>244</v>
      </c>
    </row>
    <row r="16" customFormat="false" ht="15" hidden="false" customHeight="true" outlineLevel="0" collapsed="false">
      <c r="A16" s="5" t="s">
        <v>245</v>
      </c>
      <c r="B16" s="5" t="s">
        <v>246</v>
      </c>
      <c r="C16" s="8" t="s">
        <v>247</v>
      </c>
      <c r="D16" s="8" t="s">
        <v>248</v>
      </c>
      <c r="E16" s="8" t="s">
        <v>249</v>
      </c>
      <c r="F16" s="8" t="s">
        <v>250</v>
      </c>
    </row>
    <row r="17" customFormat="false" ht="15" hidden="false" customHeight="true" outlineLevel="0" collapsed="false">
      <c r="A17" s="10" t="s">
        <v>251</v>
      </c>
      <c r="B17" s="10" t="s">
        <v>252</v>
      </c>
      <c r="C17" s="13" t="s">
        <v>253</v>
      </c>
      <c r="D17" s="13" t="s">
        <v>254</v>
      </c>
      <c r="E17" s="13" t="s">
        <v>255</v>
      </c>
      <c r="F17" s="13" t="s">
        <v>256</v>
      </c>
    </row>
    <row r="18" customFormat="false" ht="15" hidden="false" customHeight="true" outlineLevel="0" collapsed="false">
      <c r="A18" s="5" t="s">
        <v>257</v>
      </c>
      <c r="B18" s="5" t="s">
        <v>258</v>
      </c>
      <c r="C18" s="8" t="s">
        <v>110</v>
      </c>
      <c r="D18" s="8" t="s">
        <v>259</v>
      </c>
      <c r="E18" s="8" t="s">
        <v>260</v>
      </c>
      <c r="F18" s="8" t="s">
        <v>261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24"/>
  </cols>
  <sheetData>
    <row r="1" customFormat="false" ht="17.25" hidden="false" customHeight="true" outlineLevel="0" collapsed="false">
      <c r="A1" s="2" t="s">
        <v>262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4" t="s">
        <v>91</v>
      </c>
      <c r="B3" s="4" t="s">
        <v>263</v>
      </c>
      <c r="C3" s="4" t="s">
        <v>264</v>
      </c>
      <c r="D3" s="4" t="s">
        <v>265</v>
      </c>
      <c r="E3" s="4" t="s">
        <v>266</v>
      </c>
      <c r="F3" s="4" t="s">
        <v>7</v>
      </c>
      <c r="G3" s="4" t="s">
        <v>9</v>
      </c>
    </row>
    <row r="4" customFormat="false" ht="15" hidden="false" customHeight="true" outlineLevel="0" collapsed="false">
      <c r="A4" s="5" t="s">
        <v>267</v>
      </c>
      <c r="B4" s="5" t="s">
        <v>268</v>
      </c>
      <c r="C4" s="8" t="s">
        <v>269</v>
      </c>
      <c r="D4" s="8" t="s">
        <v>270</v>
      </c>
      <c r="E4" s="8" t="s">
        <v>271</v>
      </c>
      <c r="F4" s="8" t="s">
        <v>272</v>
      </c>
      <c r="G4" s="8" t="s">
        <v>273</v>
      </c>
    </row>
    <row r="5" customFormat="false" ht="15" hidden="false" customHeight="true" outlineLevel="0" collapsed="false">
      <c r="A5" s="10" t="s">
        <v>274</v>
      </c>
      <c r="B5" s="10" t="s">
        <v>275</v>
      </c>
      <c r="C5" s="13" t="s">
        <v>276</v>
      </c>
      <c r="D5" s="13" t="s">
        <v>277</v>
      </c>
      <c r="E5" s="13" t="s">
        <v>278</v>
      </c>
      <c r="F5" s="13" t="s">
        <v>279</v>
      </c>
      <c r="G5" s="13" t="s">
        <v>280</v>
      </c>
    </row>
    <row r="6" customFormat="false" ht="15" hidden="false" customHeight="true" outlineLevel="0" collapsed="false">
      <c r="A6" s="5" t="s">
        <v>281</v>
      </c>
      <c r="B6" s="5" t="s">
        <v>282</v>
      </c>
      <c r="C6" s="8" t="s">
        <v>283</v>
      </c>
      <c r="D6" s="8" t="s">
        <v>284</v>
      </c>
      <c r="E6" s="8" t="s">
        <v>271</v>
      </c>
      <c r="F6" s="8" t="s">
        <v>285</v>
      </c>
      <c r="G6" s="8" t="s">
        <v>286</v>
      </c>
    </row>
    <row r="7" customFormat="false" ht="15" hidden="false" customHeight="true" outlineLevel="0" collapsed="false">
      <c r="A7" s="10" t="s">
        <v>287</v>
      </c>
      <c r="B7" s="10" t="s">
        <v>38</v>
      </c>
      <c r="C7" s="13" t="s">
        <v>288</v>
      </c>
      <c r="D7" s="13" t="s">
        <v>289</v>
      </c>
      <c r="E7" s="13" t="s">
        <v>290</v>
      </c>
      <c r="F7" s="13" t="s">
        <v>291</v>
      </c>
      <c r="G7" s="13" t="s">
        <v>292</v>
      </c>
    </row>
    <row r="8" customFormat="false" ht="15" hidden="false" customHeight="true" outlineLevel="0" collapsed="false">
      <c r="A8" s="5" t="s">
        <v>293</v>
      </c>
      <c r="B8" s="5" t="s">
        <v>10</v>
      </c>
      <c r="C8" s="8" t="s">
        <v>288</v>
      </c>
      <c r="D8" s="8" t="s">
        <v>289</v>
      </c>
      <c r="E8" s="8" t="s">
        <v>19</v>
      </c>
      <c r="F8" s="8" t="s">
        <v>294</v>
      </c>
      <c r="G8" s="8" t="s">
        <v>295</v>
      </c>
    </row>
    <row r="9" customFormat="false" ht="15" hidden="false" customHeight="true" outlineLevel="0" collapsed="false">
      <c r="A9" s="10" t="s">
        <v>296</v>
      </c>
      <c r="B9" s="10" t="s">
        <v>297</v>
      </c>
      <c r="C9" s="13" t="s">
        <v>298</v>
      </c>
      <c r="D9" s="13" t="s">
        <v>299</v>
      </c>
      <c r="E9" s="13" t="s">
        <v>300</v>
      </c>
      <c r="F9" s="13" t="s">
        <v>301</v>
      </c>
      <c r="G9" s="13" t="s">
        <v>302</v>
      </c>
    </row>
    <row r="10" customFormat="false" ht="15" hidden="false" customHeight="true" outlineLevel="0" collapsed="false">
      <c r="A10" s="5" t="s">
        <v>303</v>
      </c>
      <c r="B10" s="5" t="s">
        <v>304</v>
      </c>
      <c r="C10" s="8" t="s">
        <v>305</v>
      </c>
      <c r="D10" s="8" t="s">
        <v>284</v>
      </c>
      <c r="E10" s="8" t="s">
        <v>271</v>
      </c>
      <c r="F10" s="8" t="s">
        <v>306</v>
      </c>
      <c r="G10" s="8" t="s">
        <v>307</v>
      </c>
    </row>
    <row r="11" customFormat="false" ht="15" hidden="false" customHeight="true" outlineLevel="0" collapsed="false">
      <c r="A11" s="10" t="s">
        <v>308</v>
      </c>
      <c r="B11" s="10" t="s">
        <v>308</v>
      </c>
      <c r="C11" s="13" t="s">
        <v>309</v>
      </c>
      <c r="D11" s="13" t="s">
        <v>310</v>
      </c>
      <c r="E11" s="13" t="s">
        <v>311</v>
      </c>
      <c r="F11" s="13" t="s">
        <v>312</v>
      </c>
      <c r="G11" s="13" t="s">
        <v>313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314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8" t="s">
        <v>315</v>
      </c>
    </row>
    <row r="4" customFormat="false" ht="15" hidden="false" customHeight="true" outlineLevel="0" collapsed="false">
      <c r="A4" s="4" t="s">
        <v>316</v>
      </c>
      <c r="B4" s="4" t="s">
        <v>263</v>
      </c>
      <c r="C4" s="4" t="s">
        <v>95</v>
      </c>
      <c r="D4" s="4" t="s">
        <v>317</v>
      </c>
      <c r="E4" s="4" t="s">
        <v>7</v>
      </c>
      <c r="F4" s="4" t="s">
        <v>9</v>
      </c>
    </row>
    <row r="5" customFormat="false" ht="15" hidden="false" customHeight="true" outlineLevel="0" collapsed="false">
      <c r="A5" s="5" t="s">
        <v>318</v>
      </c>
      <c r="B5" s="5" t="s">
        <v>319</v>
      </c>
      <c r="C5" s="8" t="s">
        <v>320</v>
      </c>
      <c r="D5" s="8" t="s">
        <v>321</v>
      </c>
      <c r="E5" s="8" t="s">
        <v>322</v>
      </c>
      <c r="F5" s="8" t="s">
        <v>323</v>
      </c>
    </row>
    <row r="6" customFormat="false" ht="15" hidden="false" customHeight="true" outlineLevel="0" collapsed="false">
      <c r="A6" s="10" t="s">
        <v>324</v>
      </c>
      <c r="B6" s="10" t="s">
        <v>324</v>
      </c>
      <c r="C6" s="13" t="s">
        <v>320</v>
      </c>
      <c r="D6" s="13" t="s">
        <v>325</v>
      </c>
      <c r="E6" s="13" t="s">
        <v>326</v>
      </c>
      <c r="F6" s="13" t="s">
        <v>327</v>
      </c>
    </row>
    <row r="7" customFormat="false" ht="23.25" hidden="false" customHeight="true" outlineLevel="0" collapsed="false">
      <c r="A7" s="5" t="s">
        <v>328</v>
      </c>
      <c r="B7" s="5" t="s">
        <v>268</v>
      </c>
      <c r="C7" s="8" t="s">
        <v>320</v>
      </c>
      <c r="D7" s="8" t="s">
        <v>329</v>
      </c>
      <c r="E7" s="8" t="s">
        <v>330</v>
      </c>
      <c r="F7" s="8" t="s">
        <v>331</v>
      </c>
    </row>
    <row r="8" customFormat="false" ht="15" hidden="false" customHeight="true" outlineLevel="0" collapsed="false">
      <c r="A8" s="10" t="s">
        <v>332</v>
      </c>
      <c r="B8" s="10" t="s">
        <v>10</v>
      </c>
      <c r="C8" s="13" t="s">
        <v>320</v>
      </c>
      <c r="D8" s="13" t="s">
        <v>333</v>
      </c>
      <c r="E8" s="13" t="s">
        <v>334</v>
      </c>
      <c r="F8" s="13" t="s">
        <v>335</v>
      </c>
    </row>
    <row r="9" customFormat="false" ht="15" hidden="false" customHeight="true" outlineLevel="0" collapsed="false">
      <c r="A9" s="5" t="s">
        <v>336</v>
      </c>
      <c r="B9" s="5" t="s">
        <v>337</v>
      </c>
      <c r="C9" s="8" t="s">
        <v>320</v>
      </c>
      <c r="D9" s="8" t="s">
        <v>338</v>
      </c>
      <c r="E9" s="8" t="s">
        <v>339</v>
      </c>
      <c r="F9" s="8" t="s">
        <v>340</v>
      </c>
    </row>
    <row r="10" customFormat="false" ht="15" hidden="false" customHeight="true" outlineLevel="0" collapsed="false">
      <c r="A10" s="10" t="s">
        <v>341</v>
      </c>
      <c r="B10" s="10" t="s">
        <v>38</v>
      </c>
      <c r="C10" s="13" t="s">
        <v>320</v>
      </c>
      <c r="D10" s="13" t="s">
        <v>338</v>
      </c>
      <c r="E10" s="13" t="s">
        <v>342</v>
      </c>
      <c r="F10" s="13" t="s">
        <v>343</v>
      </c>
    </row>
    <row r="13" customFormat="false" ht="15" hidden="false" customHeight="true" outlineLevel="0" collapsed="false">
      <c r="A13" s="18" t="s">
        <v>344</v>
      </c>
    </row>
    <row r="14" customFormat="false" ht="15" hidden="false" customHeight="true" outlineLevel="0" collapsed="false">
      <c r="A14" s="4" t="s">
        <v>345</v>
      </c>
      <c r="B14" s="4" t="s">
        <v>346</v>
      </c>
      <c r="C14" s="4" t="s">
        <v>264</v>
      </c>
      <c r="D14" s="4" t="s">
        <v>347</v>
      </c>
      <c r="E14" s="4" t="s">
        <v>7</v>
      </c>
      <c r="F14" s="4" t="s">
        <v>9</v>
      </c>
    </row>
    <row r="15" customFormat="false" ht="15" hidden="false" customHeight="true" outlineLevel="0" collapsed="false">
      <c r="A15" s="5" t="s">
        <v>348</v>
      </c>
      <c r="B15" s="5" t="s">
        <v>349</v>
      </c>
      <c r="C15" s="8" t="s">
        <v>117</v>
      </c>
      <c r="D15" s="8" t="s">
        <v>350</v>
      </c>
      <c r="E15" s="8" t="s">
        <v>351</v>
      </c>
      <c r="F15" s="8" t="s">
        <v>352</v>
      </c>
    </row>
    <row r="16" customFormat="false" ht="15" hidden="false" customHeight="true" outlineLevel="0" collapsed="false">
      <c r="A16" s="10" t="s">
        <v>353</v>
      </c>
      <c r="B16" s="10" t="s">
        <v>354</v>
      </c>
      <c r="C16" s="13" t="s">
        <v>355</v>
      </c>
      <c r="D16" s="13" t="s">
        <v>356</v>
      </c>
      <c r="E16" s="13" t="s">
        <v>357</v>
      </c>
      <c r="F16" s="13" t="s">
        <v>358</v>
      </c>
    </row>
    <row r="17" customFormat="false" ht="15" hidden="false" customHeight="true" outlineLevel="0" collapsed="false">
      <c r="A17" s="5" t="s">
        <v>359</v>
      </c>
      <c r="B17" s="5" t="s">
        <v>354</v>
      </c>
      <c r="C17" s="8" t="s">
        <v>355</v>
      </c>
      <c r="D17" s="8" t="s">
        <v>356</v>
      </c>
      <c r="E17" s="8" t="s">
        <v>360</v>
      </c>
      <c r="F17" s="8" t="s">
        <v>361</v>
      </c>
    </row>
    <row r="18" customFormat="false" ht="15" hidden="false" customHeight="true" outlineLevel="0" collapsed="false">
      <c r="A18" s="10" t="s">
        <v>362</v>
      </c>
      <c r="B18" s="10" t="s">
        <v>363</v>
      </c>
      <c r="C18" s="13" t="s">
        <v>80</v>
      </c>
      <c r="D18" s="13" t="s">
        <v>364</v>
      </c>
      <c r="E18" s="13" t="s">
        <v>365</v>
      </c>
      <c r="F18" s="13" t="s">
        <v>366</v>
      </c>
    </row>
    <row r="19" customFormat="false" ht="15" hidden="false" customHeight="true" outlineLevel="0" collapsed="false">
      <c r="A19" s="5" t="s">
        <v>367</v>
      </c>
      <c r="B19" s="5" t="s">
        <v>260</v>
      </c>
      <c r="C19" s="8" t="s">
        <v>80</v>
      </c>
      <c r="D19" s="8" t="s">
        <v>368</v>
      </c>
      <c r="E19" s="8" t="s">
        <v>369</v>
      </c>
      <c r="F19" s="8" t="s">
        <v>370</v>
      </c>
    </row>
    <row r="20" customFormat="false" ht="15" hidden="false" customHeight="true" outlineLevel="0" collapsed="false">
      <c r="A20" s="10" t="s">
        <v>371</v>
      </c>
      <c r="B20" s="10" t="s">
        <v>372</v>
      </c>
      <c r="C20" s="13" t="s">
        <v>373</v>
      </c>
      <c r="D20" s="13" t="s">
        <v>374</v>
      </c>
      <c r="E20" s="13" t="s">
        <v>375</v>
      </c>
      <c r="F20" s="13" t="s">
        <v>376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2026-03-09T13:08:53Z</dcterms:created>
  <dc:creator>openpyxl</dc:creator>
  <dc:description/>
  <dc:language>en-US</dc:language>
  <cp:lastModifiedBy/>
  <dcterms:modified xsi:type="dcterms:W3CDTF">2026-03-09T13:35:34Z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